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<sst xmlns="http://schemas.openxmlformats.org/spreadsheetml/2006/main" count="95" uniqueCount="71">
  <si>
    <t xml:space="preserve">BILL OF MATERIALS — Button Box V2 (Encoders + OLED) — Projeto P2.3</t>
  </si>
  <si>
    <t xml:space="preserve">Gui Basso — iRacing SimRacing DIY — Preços estimados AliExpress/Shopee com Remessa Conforme</t>
  </si>
  <si>
    <t xml:space="preserve">#</t>
  </si>
  <si>
    <t xml:space="preserve">Componente</t>
  </si>
  <si>
    <t xml:space="preserve">Descrição</t>
  </si>
  <si>
    <t xml:space="preserve">Qtd</t>
  </si>
  <si>
    <t xml:space="preserve">Unid</t>
  </si>
  <si>
    <t xml:space="preserve">Preço Unit (R$)</t>
  </si>
  <si>
    <t xml:space="preserve">Total (R$)</t>
  </si>
  <si>
    <t xml:space="preserve">Fornecedor Sugerido</t>
  </si>
  <si>
    <t xml:space="preserve">Observações</t>
  </si>
  <si>
    <t xml:space="preserve">Prioridade</t>
  </si>
  <si>
    <t xml:space="preserve">Encoder EC11 com botão</t>
  </si>
  <si>
    <t xml:space="preserve">Encoder rotativo 20 pulsos/volta + push-button integrado, eixo 6mm</t>
  </si>
  <si>
    <t xml:space="preserve">un</t>
  </si>
  <si>
    <t xml:space="preserve">AliExpress / Shopee</t>
  </si>
  <si>
    <t xml:space="preserve">Confirmar altura 30mm e eixo D=6mm</t>
  </si>
  <si>
    <t xml:space="preserve">🔴 Crítico</t>
  </si>
  <si>
    <t xml:space="preserve">Display OLED 0.96" SSD1306 I2C</t>
  </si>
  <si>
    <t xml:space="preserve">Display monocromático 128×64px I2C, endereço 0x3C</t>
  </si>
  <si>
    <t xml:space="preserve">Verificar endereço I2C (0x3C ou 0x3D)</t>
  </si>
  <si>
    <t xml:space="preserve">Arduino Pro Micro ATmega32U4</t>
  </si>
  <si>
    <t xml:space="preserve">MCU 5V/16MHz, USB HID nativo, clone funcional</t>
  </si>
  <si>
    <t xml:space="preserve">Mercado Livre / Robocore</t>
  </si>
  <si>
    <t xml:space="preserve">Verificar pinout — clones variam</t>
  </si>
  <si>
    <t xml:space="preserve">CD74HC4067 Multiplexador 16ch</t>
  </si>
  <si>
    <t xml:space="preserve">Mux analógico/digital 16 canais, módulo breakout DIP16</t>
  </si>
  <si>
    <t xml:space="preserve">Preferir módulo breakout já com pinos soldados</t>
  </si>
  <si>
    <t xml:space="preserve">Caixa PETG 200×120×40mm</t>
  </si>
  <si>
    <t xml:space="preserve">Impressão 3D própria PETG — arquivo .scad incluso</t>
  </si>
  <si>
    <t xml:space="preserve">Bambu A1 — impressão própria</t>
  </si>
  <si>
    <t xml:space="preserve">~80g filamento; ~4h de impressão</t>
  </si>
  <si>
    <t xml:space="preserve">🟡 DIY</t>
  </si>
  <si>
    <t xml:space="preserve">Knob alumínio 19mm para encoder</t>
  </si>
  <si>
    <t xml:space="preserve">Knob anodizado com parafuso Allen, furo 6mm</t>
  </si>
  <si>
    <t xml:space="preserve">Confirmar D do furo (6mm) e rosca Allen</t>
  </si>
  <si>
    <t xml:space="preserve">🟡 Estético</t>
  </si>
  <si>
    <t xml:space="preserve">Parafuso M3×8mm Cabeça Allen</t>
  </si>
  <si>
    <t xml:space="preserve">Parafuso inox M3×8mm para tampa e montagem</t>
  </si>
  <si>
    <t xml:space="preserve">Mercado Livre / Parafuso.net</t>
  </si>
  <si>
    <t xml:space="preserve">4 para tampa + 12 para montagem interna</t>
  </si>
  <si>
    <t xml:space="preserve">🟡 Estrutural</t>
  </si>
  <si>
    <t xml:space="preserve">Porca M3 sextavada inox</t>
  </si>
  <si>
    <t xml:space="preserve">Porca M3 padrão para pilares internos</t>
  </si>
  <si>
    <t xml:space="preserve">M3 padrão DIN 934</t>
  </si>
  <si>
    <t xml:space="preserve">Fio jumper 22AWG multicor</t>
  </si>
  <si>
    <t xml:space="preserve">Kit fios stranded para conexões internas (mínimo 50cm)</t>
  </si>
  <si>
    <t xml:space="preserve">kit</t>
  </si>
  <si>
    <t xml:space="preserve">Preferir stranded — mais flexível que solid core</t>
  </si>
  <si>
    <t xml:space="preserve">🟢 Básico</t>
  </si>
  <si>
    <t xml:space="preserve">PCB perfboard 5×7cm</t>
  </si>
  <si>
    <t xml:space="preserve">Placa de prototipagem furos 2.54mm para conexões</t>
  </si>
  <si>
    <t xml:space="preserve">AliExpress / Mercado Livre</t>
  </si>
  <si>
    <t xml:space="preserve">Furos padrão 2.54mm</t>
  </si>
  <si>
    <t xml:space="preserve">Conector USB Micro-B embutido</t>
  </si>
  <si>
    <t xml:space="preserve">Conector fêmea para slot da caixa (opcional)</t>
  </si>
  <si>
    <t xml:space="preserve">AliExpress</t>
  </si>
  <si>
    <t xml:space="preserve">Alternativa: usar cabo diretamente no Pro Micro</t>
  </si>
  <si>
    <t xml:space="preserve">🟢 Opcional</t>
  </si>
  <si>
    <t xml:space="preserve">Header pino macho 2.54mm</t>
  </si>
  <si>
    <t xml:space="preserve">Kit 40 pinos para conexão PCB-Arduino</t>
  </si>
  <si>
    <t xml:space="preserve">Cortar conforme necessário</t>
  </si>
  <si>
    <t xml:space="preserve">Resistor 10kΩ 1/4W</t>
  </si>
  <si>
    <t xml:space="preserve">Pull-up para SW (opcional — firmware usa pull-up interno)</t>
  </si>
  <si>
    <t xml:space="preserve">Baudaeletrônica / AliExpress</t>
  </si>
  <si>
    <t xml:space="preserve">Opcional — firmware ativa INPUT_PULLUP</t>
  </si>
  <si>
    <t xml:space="preserve">TOTAL ESTIMADO</t>
  </si>
  <si>
    <t xml:space="preserve">TOTAL MÍNIMO (sem impressão 3D)</t>
  </si>
  <si>
    <t xml:space="preserve">TOTAL MÁXIMO (+30% frete/câmbio)</t>
  </si>
  <si>
    <t xml:space="preserve">⚠️  NOTA TÉCNICA — Por que usar o CD74HC4067 (item 4):</t>
  </si>
  <si>
    <t xml:space="preserve">6 encoders EC11 × 3 pinos (CLK+DT+SW) = 18 pinos. O Pro Micro tem ~18 I/O úteis. O mux CD74HC4067 multiplexia CLK+DT dos 6 encoders em apenas 5 pinos (S0-S3 + SIG). Os SW são lidos diretamente. Custo: R$8. Sem o mux, é necessário reduzir para 4 encoders (Opção B).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</si>
</sst>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7030A0"/>
      <name val="Arial"/>
      <family val="0"/>
      <charset val="1"/>
    </font>
    <font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38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6" hidden="false" customHeight="true" outlineLevel="0" collapsed="false">
      <c r="A4" s="4" t="n">
        <v>1</v>
      </c>
      <c r="B4" s="5" t="s">
        <v>12</v>
      </c>
      <c r="C4" s="6" t="s">
        <v>13</v>
      </c>
      <c r="D4" s="4" t="n">
        <v>6</v>
      </c>
      <c r="E4" s="4" t="s">
        <v>14</v>
      </c>
      <c r="F4" s="7" t="n">
        <v>8</v>
      </c>
      <c r="G4" s="7" t="n">
        <f aca="false">D4*F4</f>
        <v>48</v>
      </c>
      <c r="H4" s="5" t="s">
        <v>15</v>
      </c>
      <c r="I4" s="6" t="s">
        <v>16</v>
      </c>
      <c r="J4" s="5" t="s">
        <v>17</v>
      </c>
    </row>
    <row r="5" customFormat="false" ht="36" hidden="false" customHeight="true" outlineLevel="0" collapsed="false">
      <c r="A5" s="8" t="n">
        <v>2</v>
      </c>
      <c r="B5" s="9" t="s">
        <v>18</v>
      </c>
      <c r="C5" s="10" t="s">
        <v>19</v>
      </c>
      <c r="D5" s="8" t="n">
        <v>1</v>
      </c>
      <c r="E5" s="8" t="s">
        <v>14</v>
      </c>
      <c r="F5" s="11" t="n">
        <v>25</v>
      </c>
      <c r="G5" s="11" t="n">
        <f aca="false">D5*F5</f>
        <v>25</v>
      </c>
      <c r="H5" s="9" t="s">
        <v>15</v>
      </c>
      <c r="I5" s="10" t="s">
        <v>20</v>
      </c>
      <c r="J5" s="9" t="s">
        <v>17</v>
      </c>
    </row>
    <row r="6" customFormat="false" ht="36" hidden="false" customHeight="true" outlineLevel="0" collapsed="false">
      <c r="A6" s="4" t="n">
        <v>3</v>
      </c>
      <c r="B6" s="5" t="s">
        <v>21</v>
      </c>
      <c r="C6" s="6" t="s">
        <v>22</v>
      </c>
      <c r="D6" s="4" t="n">
        <v>1</v>
      </c>
      <c r="E6" s="4" t="s">
        <v>14</v>
      </c>
      <c r="F6" s="7" t="n">
        <v>45</v>
      </c>
      <c r="G6" s="7" t="n">
        <f aca="false">D6*F6</f>
        <v>45</v>
      </c>
      <c r="H6" s="5" t="s">
        <v>23</v>
      </c>
      <c r="I6" s="6" t="s">
        <v>24</v>
      </c>
      <c r="J6" s="5" t="s">
        <v>17</v>
      </c>
    </row>
    <row r="7" customFormat="false" ht="36" hidden="false" customHeight="true" outlineLevel="0" collapsed="false">
      <c r="A7" s="8" t="n">
        <v>4</v>
      </c>
      <c r="B7" s="9" t="s">
        <v>25</v>
      </c>
      <c r="C7" s="10" t="s">
        <v>26</v>
      </c>
      <c r="D7" s="8" t="n">
        <v>1</v>
      </c>
      <c r="E7" s="8" t="s">
        <v>14</v>
      </c>
      <c r="F7" s="11" t="n">
        <v>8</v>
      </c>
      <c r="G7" s="11" t="n">
        <f aca="false">D7*F7</f>
        <v>8</v>
      </c>
      <c r="H7" s="9" t="s">
        <v>15</v>
      </c>
      <c r="I7" s="10" t="s">
        <v>27</v>
      </c>
      <c r="J7" s="9" t="s">
        <v>17</v>
      </c>
    </row>
    <row r="8" customFormat="false" ht="36" hidden="false" customHeight="true" outlineLevel="0" collapsed="false">
      <c r="A8" s="4" t="n">
        <v>5</v>
      </c>
      <c r="B8" s="5" t="s">
        <v>28</v>
      </c>
      <c r="C8" s="6" t="s">
        <v>29</v>
      </c>
      <c r="D8" s="4" t="n">
        <v>1</v>
      </c>
      <c r="E8" s="4" t="s">
        <v>14</v>
      </c>
      <c r="F8" s="7" t="n">
        <v>20</v>
      </c>
      <c r="G8" s="7" t="n">
        <f aca="false">D8*F8</f>
        <v>20</v>
      </c>
      <c r="H8" s="5" t="s">
        <v>30</v>
      </c>
      <c r="I8" s="6" t="s">
        <v>31</v>
      </c>
      <c r="J8" s="5" t="s">
        <v>32</v>
      </c>
    </row>
    <row r="9" customFormat="false" ht="36" hidden="false" customHeight="true" outlineLevel="0" collapsed="false">
      <c r="A9" s="8" t="n">
        <v>6</v>
      </c>
      <c r="B9" s="9" t="s">
        <v>33</v>
      </c>
      <c r="C9" s="10" t="s">
        <v>34</v>
      </c>
      <c r="D9" s="8" t="n">
        <v>6</v>
      </c>
      <c r="E9" s="8" t="s">
        <v>14</v>
      </c>
      <c r="F9" s="11" t="n">
        <v>3</v>
      </c>
      <c r="G9" s="11" t="n">
        <f aca="false">D9*F9</f>
        <v>18</v>
      </c>
      <c r="H9" s="9" t="s">
        <v>15</v>
      </c>
      <c r="I9" s="10" t="s">
        <v>35</v>
      </c>
      <c r="J9" s="9" t="s">
        <v>36</v>
      </c>
    </row>
    <row r="10" customFormat="false" ht="36" hidden="false" customHeight="true" outlineLevel="0" collapsed="false">
      <c r="A10" s="4" t="n">
        <v>7</v>
      </c>
      <c r="B10" s="5" t="s">
        <v>37</v>
      </c>
      <c r="C10" s="6" t="s">
        <v>38</v>
      </c>
      <c r="D10" s="4" t="n">
        <v>16</v>
      </c>
      <c r="E10" s="4" t="s">
        <v>14</v>
      </c>
      <c r="F10" s="7" t="n">
        <v>0.5</v>
      </c>
      <c r="G10" s="7" t="n">
        <f aca="false">D10*F10</f>
        <v>8</v>
      </c>
      <c r="H10" s="5" t="s">
        <v>39</v>
      </c>
      <c r="I10" s="6" t="s">
        <v>40</v>
      </c>
      <c r="J10" s="5" t="s">
        <v>41</v>
      </c>
    </row>
    <row r="11" customFormat="false" ht="36" hidden="false" customHeight="true" outlineLevel="0" collapsed="false">
      <c r="A11" s="8" t="n">
        <v>8</v>
      </c>
      <c r="B11" s="9" t="s">
        <v>42</v>
      </c>
      <c r="C11" s="10" t="s">
        <v>43</v>
      </c>
      <c r="D11" s="8" t="n">
        <v>16</v>
      </c>
      <c r="E11" s="8" t="s">
        <v>14</v>
      </c>
      <c r="F11" s="11" t="n">
        <v>0.2</v>
      </c>
      <c r="G11" s="11" t="n">
        <f aca="false">D11*F11</f>
        <v>3.2</v>
      </c>
      <c r="H11" s="9" t="s">
        <v>39</v>
      </c>
      <c r="I11" s="10" t="s">
        <v>44</v>
      </c>
      <c r="J11" s="9" t="s">
        <v>41</v>
      </c>
    </row>
    <row r="12" customFormat="false" ht="36" hidden="false" customHeight="true" outlineLevel="0" collapsed="false">
      <c r="A12" s="4" t="n">
        <v>9</v>
      </c>
      <c r="B12" s="5" t="s">
        <v>45</v>
      </c>
      <c r="C12" s="6" t="s">
        <v>46</v>
      </c>
      <c r="D12" s="4" t="n">
        <v>1</v>
      </c>
      <c r="E12" s="4" t="s">
        <v>47</v>
      </c>
      <c r="F12" s="7" t="n">
        <v>12</v>
      </c>
      <c r="G12" s="7" t="n">
        <f aca="false">D12*F12</f>
        <v>12</v>
      </c>
      <c r="H12" s="5" t="s">
        <v>15</v>
      </c>
      <c r="I12" s="6" t="s">
        <v>48</v>
      </c>
      <c r="J12" s="5" t="s">
        <v>49</v>
      </c>
    </row>
    <row r="13" customFormat="false" ht="36" hidden="false" customHeight="true" outlineLevel="0" collapsed="false">
      <c r="A13" s="8" t="n">
        <v>10</v>
      </c>
      <c r="B13" s="9" t="s">
        <v>50</v>
      </c>
      <c r="C13" s="10" t="s">
        <v>51</v>
      </c>
      <c r="D13" s="8" t="n">
        <v>1</v>
      </c>
      <c r="E13" s="8" t="s">
        <v>14</v>
      </c>
      <c r="F13" s="11" t="n">
        <v>6</v>
      </c>
      <c r="G13" s="11" t="n">
        <f aca="false">D13*F13</f>
        <v>6</v>
      </c>
      <c r="H13" s="9" t="s">
        <v>52</v>
      </c>
      <c r="I13" s="10" t="s">
        <v>53</v>
      </c>
      <c r="J13" s="9" t="s">
        <v>49</v>
      </c>
    </row>
    <row r="14" customFormat="false" ht="36" hidden="false" customHeight="true" outlineLevel="0" collapsed="false">
      <c r="A14" s="4" t="n">
        <v>11</v>
      </c>
      <c r="B14" s="5" t="s">
        <v>54</v>
      </c>
      <c r="C14" s="6" t="s">
        <v>55</v>
      </c>
      <c r="D14" s="4" t="n">
        <v>1</v>
      </c>
      <c r="E14" s="4" t="s">
        <v>14</v>
      </c>
      <c r="F14" s="7" t="n">
        <v>4</v>
      </c>
      <c r="G14" s="7" t="n">
        <f aca="false">D14*F14</f>
        <v>4</v>
      </c>
      <c r="H14" s="5" t="s">
        <v>56</v>
      </c>
      <c r="I14" s="6" t="s">
        <v>57</v>
      </c>
      <c r="J14" s="5" t="s">
        <v>58</v>
      </c>
    </row>
    <row r="15" customFormat="false" ht="36" hidden="false" customHeight="true" outlineLevel="0" collapsed="false">
      <c r="A15" s="8" t="n">
        <v>12</v>
      </c>
      <c r="B15" s="9" t="s">
        <v>59</v>
      </c>
      <c r="C15" s="10" t="s">
        <v>60</v>
      </c>
      <c r="D15" s="8" t="n">
        <v>1</v>
      </c>
      <c r="E15" s="8" t="s">
        <v>47</v>
      </c>
      <c r="F15" s="11" t="n">
        <v>3</v>
      </c>
      <c r="G15" s="11" t="n">
        <f aca="false">D15*F15</f>
        <v>3</v>
      </c>
      <c r="H15" s="9" t="s">
        <v>52</v>
      </c>
      <c r="I15" s="10" t="s">
        <v>61</v>
      </c>
      <c r="J15" s="9" t="s">
        <v>49</v>
      </c>
    </row>
    <row r="16" customFormat="false" ht="36" hidden="false" customHeight="true" outlineLevel="0" collapsed="false">
      <c r="A16" s="4" t="n">
        <v>13</v>
      </c>
      <c r="B16" s="5" t="s">
        <v>62</v>
      </c>
      <c r="C16" s="6" t="s">
        <v>63</v>
      </c>
      <c r="D16" s="4" t="n">
        <v>12</v>
      </c>
      <c r="E16" s="4" t="s">
        <v>14</v>
      </c>
      <c r="F16" s="7" t="n">
        <v>0.1</v>
      </c>
      <c r="G16" s="7" t="n">
        <f aca="false">D16*F16</f>
        <v>1.2</v>
      </c>
      <c r="H16" s="5" t="s">
        <v>64</v>
      </c>
      <c r="I16" s="6" t="s">
        <v>65</v>
      </c>
      <c r="J16" s="5" t="s">
        <v>58</v>
      </c>
    </row>
    <row r="17" customFormat="false" ht="7.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false" outlineLevel="0" collapsed="false">
      <c r="A18" s="13" t="s">
        <v>66</v>
      </c>
      <c r="B18" s="13"/>
      <c r="C18" s="13"/>
      <c r="D18" s="13"/>
      <c r="E18" s="13"/>
      <c r="F18" s="13"/>
      <c r="G18" s="14" t="n">
        <f aca="false">SUM(G4:G16)</f>
        <v>201.4</v>
      </c>
      <c r="H18" s="15"/>
      <c r="I18" s="15"/>
      <c r="J18" s="15"/>
    </row>
    <row r="19" customFormat="false" ht="15" hidden="false" customHeight="false" outlineLevel="0" collapsed="false">
      <c r="A19" s="16" t="s">
        <v>67</v>
      </c>
      <c r="B19" s="16"/>
      <c r="C19" s="16"/>
      <c r="D19" s="16"/>
      <c r="E19" s="16"/>
      <c r="F19" s="16"/>
      <c r="G19" s="17" t="n">
        <f aca="false">G18-G8</f>
        <v>181.4</v>
      </c>
      <c r="H19" s="15"/>
      <c r="I19" s="15"/>
      <c r="J19" s="15"/>
    </row>
    <row r="20" customFormat="false" ht="15" hidden="false" customHeight="false" outlineLevel="0" collapsed="false">
      <c r="A20" s="16" t="s">
        <v>68</v>
      </c>
      <c r="B20" s="16"/>
      <c r="C20" s="16"/>
      <c r="D20" s="16"/>
      <c r="E20" s="16"/>
      <c r="F20" s="16"/>
      <c r="G20" s="17" t="n">
        <f aca="false">G18*1.3</f>
        <v>261.82</v>
      </c>
      <c r="H20" s="15"/>
      <c r="I20" s="15"/>
      <c r="J20" s="15"/>
    </row>
    <row r="22" customFormat="false" ht="15" hidden="false" customHeight="false" outlineLevel="0" collapsed="false">
      <c r="A22" s="18" t="s">
        <v>69</v>
      </c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36" hidden="false" customHeight="true" outlineLevel="0" collapsed="false">
      <c r="A23" s="19" t="s">
        <v>70</v>
      </c>
      <c r="B23" s="19"/>
      <c r="C23" s="19"/>
      <c r="D23" s="19"/>
      <c r="E23" s="19"/>
      <c r="F23" s="19"/>
      <c r="G23" s="19"/>
      <c r="H23" s="19"/>
      <c r="I23" s="19"/>
      <c r="J23" s="19"/>
    </row>
  </sheetData>
  <mergeCells count="8">
    <mergeCell ref="A1:J1"/>
    <mergeCell ref="A2:J2"/>
    <mergeCell ref="A17:J17"/>
    <mergeCell ref="A18:F18"/>
    <mergeCell ref="A19:F19"/>
    <mergeCell ref="A20:F20"/>
    <mergeCell ref="A22:J22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2026-06-08T00:11:06Z</dcterms:created>
  <dc:creator>openpyxl</dc:creator>
  <dc:description/>
  <dc:language>en-US</dc:language>
  <cp:lastModifiedBy/>
  <dcterms:modified xsi:type="dcterms:W3CDTF">2026-06-08T00:11:06Z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